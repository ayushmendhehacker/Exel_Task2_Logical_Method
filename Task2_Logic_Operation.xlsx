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ush\OneDrive\Desktop\Data Analytics\Exel\Exel_Tasks\Exel_Task2\"/>
    </mc:Choice>
  </mc:AlternateContent>
  <xr:revisionPtr revIDLastSave="0" documentId="13_ncr:1_{ABF1C08F-0E71-419E-9B68-DCDCF90C29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2" l="1"/>
  <c r="O9" i="2" l="1"/>
  <c r="P9" i="2" s="1"/>
  <c r="O10" i="2"/>
  <c r="P10" i="2" s="1"/>
  <c r="O11" i="2"/>
  <c r="P11" i="2" s="1"/>
  <c r="O12" i="2"/>
  <c r="P12" i="2" s="1"/>
  <c r="O13" i="2"/>
  <c r="P13" i="2" s="1"/>
  <c r="O8" i="2"/>
  <c r="P8" i="2" s="1"/>
  <c r="O15" i="2" s="1"/>
  <c r="S9" i="2"/>
  <c r="S10" i="2"/>
  <c r="S11" i="2"/>
  <c r="S12" i="2"/>
  <c r="S13" i="2"/>
  <c r="S8" i="2"/>
  <c r="R9" i="2"/>
  <c r="R10" i="2"/>
  <c r="R11" i="2"/>
  <c r="R12" i="2"/>
  <c r="R13" i="2"/>
  <c r="R8" i="2"/>
  <c r="N7" i="1"/>
  <c r="M20" i="1"/>
  <c r="M19" i="1"/>
  <c r="M17" i="1"/>
  <c r="M16" i="1"/>
  <c r="O7" i="1"/>
  <c r="V8" i="1"/>
  <c r="V9" i="1"/>
  <c r="V10" i="1"/>
  <c r="V11" i="1"/>
  <c r="V12" i="1"/>
  <c r="V7" i="1"/>
  <c r="U7" i="1"/>
  <c r="U8" i="1"/>
  <c r="U9" i="1"/>
  <c r="U10" i="1"/>
  <c r="U11" i="1"/>
  <c r="U12" i="1"/>
  <c r="T12" i="1"/>
  <c r="T8" i="1"/>
  <c r="T9" i="1"/>
  <c r="T10" i="1"/>
  <c r="T11" i="1"/>
  <c r="T7" i="1"/>
  <c r="S8" i="1"/>
  <c r="S9" i="1"/>
  <c r="S10" i="1"/>
  <c r="S11" i="1"/>
  <c r="S12" i="1"/>
  <c r="S7" i="1"/>
  <c r="R8" i="1"/>
  <c r="R9" i="1"/>
  <c r="R10" i="1"/>
  <c r="R11" i="1"/>
  <c r="R12" i="1"/>
  <c r="R7" i="1"/>
  <c r="N12" i="1"/>
  <c r="O12" i="1" s="1"/>
  <c r="M12" i="1"/>
  <c r="N11" i="1"/>
  <c r="O11" i="1" s="1"/>
  <c r="M11" i="1"/>
  <c r="N10" i="1"/>
  <c r="O10" i="1" s="1"/>
  <c r="M10" i="1"/>
  <c r="N9" i="1"/>
  <c r="O9" i="1" s="1"/>
  <c r="M9" i="1"/>
  <c r="N8" i="1"/>
  <c r="O8" i="1" s="1"/>
  <c r="M8" i="1"/>
  <c r="M7" i="1"/>
  <c r="P10" i="1"/>
  <c r="P11" i="1"/>
  <c r="P12" i="1"/>
  <c r="P8" i="1"/>
  <c r="P7" i="1"/>
  <c r="P9" i="1"/>
</calcChain>
</file>

<file path=xl/sharedStrings.xml><?xml version="1.0" encoding="utf-8"?>
<sst xmlns="http://schemas.openxmlformats.org/spreadsheetml/2006/main" count="130" uniqueCount="69">
  <si>
    <t>seat_no</t>
  </si>
  <si>
    <t>customer_name</t>
  </si>
  <si>
    <t>baggage_weight</t>
  </si>
  <si>
    <t>seat_class</t>
  </si>
  <si>
    <t>ticket_no</t>
  </si>
  <si>
    <t>price</t>
  </si>
  <si>
    <t>from</t>
  </si>
  <si>
    <t>to</t>
  </si>
  <si>
    <t>time</t>
  </si>
  <si>
    <t>cmp</t>
  </si>
  <si>
    <t>tax</t>
  </si>
  <si>
    <t>total_price</t>
  </si>
  <si>
    <t>rank</t>
  </si>
  <si>
    <t>cust1</t>
  </si>
  <si>
    <t>p</t>
  </si>
  <si>
    <t>t_101</t>
  </si>
  <si>
    <t>nagpur</t>
  </si>
  <si>
    <t>delhi</t>
  </si>
  <si>
    <t>indigo</t>
  </si>
  <si>
    <t>cust2</t>
  </si>
  <si>
    <t>e</t>
  </si>
  <si>
    <t>t_102</t>
  </si>
  <si>
    <t>pune</t>
  </si>
  <si>
    <t>mumbai</t>
  </si>
  <si>
    <t>air india</t>
  </si>
  <si>
    <t>arc_cust</t>
  </si>
  <si>
    <t>l</t>
  </si>
  <si>
    <t>t_103</t>
  </si>
  <si>
    <t>dubai</t>
  </si>
  <si>
    <t>qatar airlines</t>
  </si>
  <si>
    <t>vigo_cust</t>
  </si>
  <si>
    <t>t_104</t>
  </si>
  <si>
    <t>arc2</t>
  </si>
  <si>
    <t>t_105</t>
  </si>
  <si>
    <t>hydrabad</t>
  </si>
  <si>
    <t>DB_user1</t>
  </si>
  <si>
    <t>t_106</t>
  </si>
  <si>
    <t>budget</t>
  </si>
  <si>
    <t>"&gt; greater than"</t>
  </si>
  <si>
    <t>"&lt; less than"</t>
  </si>
  <si>
    <t>"&lt;= less than or equal to"</t>
  </si>
  <si>
    <t>"&gt;= greater than or equal to"</t>
  </si>
  <si>
    <t>"= equal to"</t>
  </si>
  <si>
    <t>OR</t>
  </si>
  <si>
    <t>AND</t>
  </si>
  <si>
    <t>does any values contain value greather than budget</t>
  </si>
  <si>
    <t>doea all values contain values less than budget</t>
  </si>
  <si>
    <t>does all values contain value greater than budget</t>
  </si>
  <si>
    <t>does price contain any values less than budget</t>
  </si>
  <si>
    <t>Logica operations</t>
  </si>
  <si>
    <t>if else</t>
  </si>
  <si>
    <t>if else if</t>
  </si>
  <si>
    <t>20+ budget</t>
  </si>
  <si>
    <t>diff. of time</t>
  </si>
  <si>
    <t>output</t>
  </si>
  <si>
    <t>my schedule</t>
  </si>
  <si>
    <t>I have meeting at 8:30 pm</t>
  </si>
  <si>
    <t>travel time is 30 min</t>
  </si>
  <si>
    <t>mTime</t>
  </si>
  <si>
    <t>tTime</t>
  </si>
  <si>
    <t xml:space="preserve">problem + logic = output </t>
  </si>
  <si>
    <t>can we buy ticket at budget 60</t>
  </si>
  <si>
    <t xml:space="preserve">if no, then can we buy ticket after increasing budget by 20+ </t>
  </si>
  <si>
    <t>which ticket can I buy</t>
  </si>
  <si>
    <t>optimum ticket option to buy</t>
  </si>
  <si>
    <t>least time required to travel</t>
  </si>
  <si>
    <t>ticket_no of ticket which has least time to travel</t>
  </si>
  <si>
    <t>MINIFS(O8:O13,P8:P13,"I can travel")</t>
  </si>
  <si>
    <t>INDEX(H8:H13,MATCH(O15,O8:O13))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</si>
</sst>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/>
    <xf numFmtId="49" fontId="1" fillId="2" borderId="0" xfId="0" applyNumberFormat="1" applyFont="1" applyFill="1"/>
    <xf numFmtId="0" fontId="0" fillId="3" borderId="1" xfId="0" applyFill="1" applyBorder="1"/>
    <xf numFmtId="20" fontId="0" fillId="3" borderId="1" xfId="0" applyNumberFormat="1" applyFill="1" applyBorder="1"/>
    <xf numFmtId="0" fontId="0" fillId="3" borderId="0" xfId="0" applyFill="1"/>
    <xf numFmtId="9" fontId="0" fillId="0" borderId="0" xfId="0" applyNumberFormat="1"/>
    <xf numFmtId="164" fontId="0" fillId="3" borderId="1" xfId="0" applyNumberFormat="1" applyFill="1" applyBorder="1"/>
    <xf numFmtId="164" fontId="0" fillId="0" borderId="0" xfId="0" applyNumberFormat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20"/>
  <sheetViews>
    <sheetView workbookViewId="0">
      <selection activeCell="C6" sqref="C6:L12"/>
    </sheetView>
  </sheetViews>
  <sheetFormatPr defaultRowHeight="14.4" x14ac:dyDescent="0.3"/>
  <cols>
    <col min="4" max="4" width="16.109375" bestFit="1" customWidth="1"/>
    <col min="5" max="5" width="16" bestFit="1" customWidth="1"/>
    <col min="6" max="6" width="10.33203125" bestFit="1" customWidth="1"/>
    <col min="7" max="7" width="9.6640625" bestFit="1" customWidth="1"/>
    <col min="8" max="8" width="8.77734375" customWidth="1"/>
    <col min="12" max="12" width="11.5546875" bestFit="1" customWidth="1"/>
    <col min="15" max="15" width="11.109375" bestFit="1" customWidth="1"/>
    <col min="18" max="18" width="12.21875" bestFit="1" customWidth="1"/>
    <col min="19" max="19" width="16.109375" bestFit="1" customWidth="1"/>
    <col min="20" max="20" width="12.77734375" bestFit="1" customWidth="1"/>
    <col min="21" max="21" width="28.44140625" bestFit="1" customWidth="1"/>
    <col min="22" max="22" width="25.109375" bestFit="1" customWidth="1"/>
  </cols>
  <sheetData>
    <row r="1" spans="3:22" x14ac:dyDescent="0.3">
      <c r="H1" t="s">
        <v>37</v>
      </c>
      <c r="I1">
        <v>95</v>
      </c>
    </row>
    <row r="2" spans="3:22" x14ac:dyDescent="0.3">
      <c r="L2" t="s">
        <v>10</v>
      </c>
      <c r="M2" s="6">
        <v>0.2</v>
      </c>
    </row>
    <row r="4" spans="3:22" x14ac:dyDescent="0.3">
      <c r="R4" t="s">
        <v>49</v>
      </c>
    </row>
    <row r="6" spans="3:22" ht="15.6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2" t="s">
        <v>10</v>
      </c>
      <c r="N6" s="1" t="s">
        <v>10</v>
      </c>
      <c r="O6" s="1" t="s">
        <v>11</v>
      </c>
      <c r="P6" s="1" t="s">
        <v>12</v>
      </c>
      <c r="R6" s="1" t="s">
        <v>42</v>
      </c>
      <c r="S6" s="1" t="s">
        <v>38</v>
      </c>
      <c r="T6" s="1" t="s">
        <v>39</v>
      </c>
      <c r="U6" s="1" t="s">
        <v>41</v>
      </c>
      <c r="V6" s="1" t="s">
        <v>40</v>
      </c>
    </row>
    <row r="7" spans="3:22" x14ac:dyDescent="0.3">
      <c r="C7" s="3">
        <v>101</v>
      </c>
      <c r="D7" s="3" t="s">
        <v>13</v>
      </c>
      <c r="E7" s="3">
        <v>20</v>
      </c>
      <c r="F7" s="3" t="s">
        <v>14</v>
      </c>
      <c r="G7" s="3" t="s">
        <v>15</v>
      </c>
      <c r="H7" s="3">
        <v>60</v>
      </c>
      <c r="I7" s="3" t="s">
        <v>16</v>
      </c>
      <c r="J7" s="3" t="s">
        <v>17</v>
      </c>
      <c r="K7" s="4">
        <v>0.83333333333333337</v>
      </c>
      <c r="L7" s="3" t="s">
        <v>18</v>
      </c>
      <c r="M7" s="5">
        <f>H7/100*10</f>
        <v>6</v>
      </c>
      <c r="N7" s="3">
        <f>H7*$M$2</f>
        <v>12</v>
      </c>
      <c r="O7" s="3">
        <f>N7+H7</f>
        <v>72</v>
      </c>
      <c r="P7" s="3">
        <f ca="1">_xlfn.RANK.AVG(O7,$P7:$P12,0)</f>
        <v>3.5</v>
      </c>
      <c r="R7" s="3" t="b">
        <f>H7=I$1</f>
        <v>0</v>
      </c>
      <c r="S7" s="3" t="b">
        <f>I$1&gt;H7</f>
        <v>1</v>
      </c>
      <c r="T7" s="3" t="b">
        <f>I$1&lt;H7</f>
        <v>0</v>
      </c>
      <c r="U7" s="3" t="b">
        <f>H7&gt;=I$1</f>
        <v>0</v>
      </c>
      <c r="V7" s="3" t="b">
        <f>H7&lt;=I$1</f>
        <v>1</v>
      </c>
    </row>
    <row r="8" spans="3:22" x14ac:dyDescent="0.3">
      <c r="C8" s="3">
        <v>102</v>
      </c>
      <c r="D8" s="3" t="s">
        <v>19</v>
      </c>
      <c r="E8" s="3">
        <v>30</v>
      </c>
      <c r="F8" s="3" t="s">
        <v>20</v>
      </c>
      <c r="G8" s="3" t="s">
        <v>21</v>
      </c>
      <c r="H8" s="3">
        <v>50</v>
      </c>
      <c r="I8" s="3" t="s">
        <v>22</v>
      </c>
      <c r="J8" s="3" t="s">
        <v>23</v>
      </c>
      <c r="K8" s="4">
        <v>0.64583333333333337</v>
      </c>
      <c r="L8" s="3" t="s">
        <v>24</v>
      </c>
      <c r="M8" s="5">
        <f t="shared" ref="M8:M12" si="0">H8/100*10</f>
        <v>5</v>
      </c>
      <c r="N8" s="3">
        <f>H8*$M$2</f>
        <v>10</v>
      </c>
      <c r="O8" s="3">
        <f t="shared" ref="O8:O12" si="1">N8+H8</f>
        <v>60</v>
      </c>
      <c r="P8" s="3">
        <f ca="1">_xlfn.RANK.AVG(O8,$P7:$P12,0)</f>
        <v>5</v>
      </c>
      <c r="R8" s="3" t="b">
        <f t="shared" ref="R8:R12" si="2">H8=I$1</f>
        <v>0</v>
      </c>
      <c r="S8" s="3" t="b">
        <f t="shared" ref="S8:S12" si="3">I$1&gt;H8</f>
        <v>1</v>
      </c>
      <c r="T8" s="3" t="b">
        <f t="shared" ref="T8:T11" si="4">I$1&lt;H8</f>
        <v>0</v>
      </c>
      <c r="U8" s="3" t="b">
        <f t="shared" ref="U8:U12" si="5">H8&gt;=I$1</f>
        <v>0</v>
      </c>
      <c r="V8" s="3" t="b">
        <f t="shared" ref="V8:V12" si="6">H8&lt;=I$1</f>
        <v>1</v>
      </c>
    </row>
    <row r="9" spans="3:22" x14ac:dyDescent="0.3">
      <c r="C9" s="3">
        <v>103</v>
      </c>
      <c r="D9" s="3" t="s">
        <v>25</v>
      </c>
      <c r="E9" s="3">
        <v>50</v>
      </c>
      <c r="F9" s="3" t="s">
        <v>26</v>
      </c>
      <c r="G9" s="3" t="s">
        <v>27</v>
      </c>
      <c r="H9" s="3">
        <v>100</v>
      </c>
      <c r="I9" s="3" t="s">
        <v>16</v>
      </c>
      <c r="J9" s="3" t="s">
        <v>28</v>
      </c>
      <c r="K9" s="4">
        <v>0.34027777777777779</v>
      </c>
      <c r="L9" s="3" t="s">
        <v>29</v>
      </c>
      <c r="M9" s="5">
        <f t="shared" si="0"/>
        <v>10</v>
      </c>
      <c r="N9" s="3">
        <f t="shared" ref="N9:N11" si="7">H9*$M$2</f>
        <v>20</v>
      </c>
      <c r="O9" s="3">
        <f t="shared" si="1"/>
        <v>120</v>
      </c>
      <c r="P9" s="3">
        <f ca="1">_xlfn.RANK.AVG(O9,$P7:$P12,0)</f>
        <v>2</v>
      </c>
      <c r="R9" s="3" t="b">
        <f t="shared" si="2"/>
        <v>0</v>
      </c>
      <c r="S9" s="3" t="b">
        <f t="shared" si="3"/>
        <v>0</v>
      </c>
      <c r="T9" s="3" t="b">
        <f t="shared" si="4"/>
        <v>1</v>
      </c>
      <c r="U9" s="3" t="b">
        <f t="shared" si="5"/>
        <v>1</v>
      </c>
      <c r="V9" s="3" t="b">
        <f t="shared" si="6"/>
        <v>0</v>
      </c>
    </row>
    <row r="10" spans="3:22" x14ac:dyDescent="0.3">
      <c r="C10" s="3">
        <v>104</v>
      </c>
      <c r="D10" s="3" t="s">
        <v>30</v>
      </c>
      <c r="E10" s="3">
        <v>40</v>
      </c>
      <c r="F10" s="3" t="s">
        <v>26</v>
      </c>
      <c r="G10" s="3" t="s">
        <v>31</v>
      </c>
      <c r="H10" s="3">
        <v>120</v>
      </c>
      <c r="I10" s="3" t="s">
        <v>28</v>
      </c>
      <c r="J10" s="3" t="s">
        <v>23</v>
      </c>
      <c r="K10" s="4">
        <v>2.361111111111111E-2</v>
      </c>
      <c r="L10" s="3" t="s">
        <v>29</v>
      </c>
      <c r="M10" s="5">
        <f t="shared" si="0"/>
        <v>12</v>
      </c>
      <c r="N10" s="3">
        <f t="shared" si="7"/>
        <v>24</v>
      </c>
      <c r="O10" s="3">
        <f t="shared" si="1"/>
        <v>144</v>
      </c>
      <c r="P10" s="3">
        <f ca="1">_xlfn.RANK.AVG(O10,$P7:$P12,0)</f>
        <v>1</v>
      </c>
      <c r="R10" s="3" t="b">
        <f t="shared" si="2"/>
        <v>0</v>
      </c>
      <c r="S10" s="3" t="b">
        <f t="shared" si="3"/>
        <v>0</v>
      </c>
      <c r="T10" s="3" t="b">
        <f t="shared" si="4"/>
        <v>1</v>
      </c>
      <c r="U10" s="3" t="b">
        <f t="shared" si="5"/>
        <v>1</v>
      </c>
      <c r="V10" s="3" t="b">
        <f t="shared" si="6"/>
        <v>0</v>
      </c>
    </row>
    <row r="11" spans="3:22" x14ac:dyDescent="0.3">
      <c r="C11" s="3">
        <v>105</v>
      </c>
      <c r="D11" s="3" t="s">
        <v>32</v>
      </c>
      <c r="E11" s="3">
        <v>10</v>
      </c>
      <c r="F11" s="3" t="s">
        <v>20</v>
      </c>
      <c r="G11" s="3" t="s">
        <v>33</v>
      </c>
      <c r="H11" s="3">
        <v>30</v>
      </c>
      <c r="I11" s="3" t="s">
        <v>16</v>
      </c>
      <c r="J11" s="3" t="s">
        <v>34</v>
      </c>
      <c r="K11" s="4">
        <v>0.99652777777777779</v>
      </c>
      <c r="L11" s="3" t="s">
        <v>18</v>
      </c>
      <c r="M11" s="5">
        <f t="shared" si="0"/>
        <v>3</v>
      </c>
      <c r="N11" s="3">
        <f t="shared" si="7"/>
        <v>6</v>
      </c>
      <c r="O11" s="3">
        <f t="shared" si="1"/>
        <v>36</v>
      </c>
      <c r="P11" s="3">
        <f ca="1">_xlfn.RANK.AVG(O11,$P7:$P12,0)</f>
        <v>6</v>
      </c>
      <c r="R11" s="3" t="b">
        <f t="shared" si="2"/>
        <v>0</v>
      </c>
      <c r="S11" s="3" t="b">
        <f t="shared" si="3"/>
        <v>1</v>
      </c>
      <c r="T11" s="3" t="b">
        <f t="shared" si="4"/>
        <v>0</v>
      </c>
      <c r="U11" s="3" t="b">
        <f t="shared" si="5"/>
        <v>0</v>
      </c>
      <c r="V11" s="3" t="b">
        <f t="shared" si="6"/>
        <v>1</v>
      </c>
    </row>
    <row r="12" spans="3:22" x14ac:dyDescent="0.3">
      <c r="C12" s="3">
        <v>106</v>
      </c>
      <c r="D12" s="3" t="s">
        <v>35</v>
      </c>
      <c r="E12" s="3">
        <v>30</v>
      </c>
      <c r="F12" s="3" t="s">
        <v>14</v>
      </c>
      <c r="G12" s="3" t="s">
        <v>36</v>
      </c>
      <c r="H12" s="3">
        <v>60</v>
      </c>
      <c r="I12" s="3" t="s">
        <v>34</v>
      </c>
      <c r="J12" s="3" t="s">
        <v>23</v>
      </c>
      <c r="K12" s="4">
        <v>0.50347222222222221</v>
      </c>
      <c r="L12" s="3" t="s">
        <v>24</v>
      </c>
      <c r="M12" s="5">
        <f t="shared" si="0"/>
        <v>6</v>
      </c>
      <c r="N12" s="3">
        <f>H12*$M$2</f>
        <v>12</v>
      </c>
      <c r="O12" s="3">
        <f t="shared" si="1"/>
        <v>72</v>
      </c>
      <c r="P12" s="3">
        <f ca="1">_xlfn.RANK.AVG(O12,$P7:$P12,0)</f>
        <v>3.5</v>
      </c>
      <c r="R12" s="3" t="b">
        <f t="shared" si="2"/>
        <v>0</v>
      </c>
      <c r="S12" s="3" t="b">
        <f t="shared" si="3"/>
        <v>1</v>
      </c>
      <c r="T12" s="3" t="b">
        <f>I$1&lt;H12</f>
        <v>0</v>
      </c>
      <c r="U12" s="3" t="b">
        <f t="shared" si="5"/>
        <v>0</v>
      </c>
      <c r="V12" s="3" t="b">
        <f t="shared" si="6"/>
        <v>1</v>
      </c>
    </row>
    <row r="16" spans="3:22" ht="15.6" customHeight="1" x14ac:dyDescent="0.3">
      <c r="G16" s="13" t="s">
        <v>43</v>
      </c>
      <c r="H16" s="3" t="s">
        <v>48</v>
      </c>
      <c r="I16" s="3"/>
      <c r="J16" s="3"/>
      <c r="K16" s="3"/>
      <c r="L16" s="3"/>
      <c r="M16" s="3" t="b">
        <f>OR(H7&lt;I1,H8&lt;I1,H9&lt;I1,H10&lt;I1,H11&lt;I1,H12&lt;I1)</f>
        <v>1</v>
      </c>
    </row>
    <row r="17" spans="7:13" ht="15.6" customHeight="1" x14ac:dyDescent="0.3">
      <c r="G17" s="14"/>
      <c r="H17" s="3" t="s">
        <v>45</v>
      </c>
      <c r="I17" s="3"/>
      <c r="J17" s="3"/>
      <c r="K17" s="3"/>
      <c r="L17" s="3"/>
      <c r="M17" s="3" t="b">
        <f>OR(H7&gt;I1,H8&gt;I1,H9&gt;I1,H10&gt;I1,H11&gt;I1,H12&gt;I1)</f>
        <v>1</v>
      </c>
    </row>
    <row r="19" spans="7:13" ht="15.6" customHeight="1" x14ac:dyDescent="0.3">
      <c r="G19" s="13" t="s">
        <v>44</v>
      </c>
      <c r="H19" s="3" t="s">
        <v>46</v>
      </c>
      <c r="I19" s="3"/>
      <c r="J19" s="3"/>
      <c r="K19" s="3"/>
      <c r="L19" s="3"/>
      <c r="M19" s="3" t="b">
        <f>AND(H7&lt;I1,H8&lt;I1,H9&lt;I1,H10&lt;I1,H11&lt;I1,H12&lt;I1)</f>
        <v>0</v>
      </c>
    </row>
    <row r="20" spans="7:13" ht="15.6" customHeight="1" x14ac:dyDescent="0.3">
      <c r="G20" s="14"/>
      <c r="H20" s="3" t="s">
        <v>47</v>
      </c>
      <c r="I20" s="3"/>
      <c r="J20" s="3"/>
      <c r="K20" s="3"/>
      <c r="L20" s="3"/>
      <c r="M20" s="3" t="b">
        <f>AND(H7&gt;I1,H8&gt;I1,H9&gt;I1,H10&gt;I1,H11&gt;I1,H12&gt;I1)</f>
        <v>0</v>
      </c>
    </row>
  </sheetData>
  <mergeCells count="2">
    <mergeCell ref="G16:G17"/>
    <mergeCell ref="G19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0523-B570-4910-9B64-FAA0EC5D0609}">
  <dimension ref="D1:U19"/>
  <sheetViews>
    <sheetView tabSelected="1" topLeftCell="C1" workbookViewId="0">
      <selection activeCell="N21" sqref="N21"/>
    </sheetView>
  </sheetViews>
  <sheetFormatPr defaultRowHeight="14.4" x14ac:dyDescent="0.3"/>
  <cols>
    <col min="8" max="8" width="10.109375" customWidth="1"/>
    <col min="9" max="9" width="10" bestFit="1" customWidth="1"/>
    <col min="12" max="12" width="11" bestFit="1" customWidth="1"/>
    <col min="13" max="13" width="11.5546875" bestFit="1" customWidth="1"/>
    <col min="15" max="15" width="13.77734375" customWidth="1"/>
    <col min="16" max="16" width="11" customWidth="1"/>
    <col min="18" max="18" width="14" customWidth="1"/>
    <col min="19" max="19" width="21.33203125" bestFit="1" customWidth="1"/>
  </cols>
  <sheetData>
    <row r="1" spans="4:19" x14ac:dyDescent="0.3">
      <c r="I1" t="s">
        <v>37</v>
      </c>
      <c r="J1">
        <v>60</v>
      </c>
      <c r="L1" t="s">
        <v>55</v>
      </c>
      <c r="M1" t="s">
        <v>56</v>
      </c>
    </row>
    <row r="2" spans="4:19" x14ac:dyDescent="0.3">
      <c r="I2" t="s">
        <v>52</v>
      </c>
      <c r="J2">
        <v>80</v>
      </c>
      <c r="M2" t="s">
        <v>57</v>
      </c>
    </row>
    <row r="4" spans="4:19" x14ac:dyDescent="0.3">
      <c r="L4" t="s">
        <v>58</v>
      </c>
      <c r="M4" s="8">
        <v>0.85416666666666663</v>
      </c>
      <c r="O4" t="s">
        <v>59</v>
      </c>
      <c r="P4" s="8">
        <v>2.0833333333333332E-2</v>
      </c>
    </row>
    <row r="7" spans="4:19" ht="15.6" x14ac:dyDescent="0.3"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O7" s="1" t="s">
        <v>53</v>
      </c>
      <c r="P7" s="1" t="s">
        <v>54</v>
      </c>
      <c r="R7" s="1" t="s">
        <v>50</v>
      </c>
      <c r="S7" s="1" t="s">
        <v>51</v>
      </c>
    </row>
    <row r="8" spans="4:19" x14ac:dyDescent="0.3">
      <c r="D8" s="3">
        <v>101</v>
      </c>
      <c r="E8" s="3" t="s">
        <v>13</v>
      </c>
      <c r="F8" s="3">
        <v>20</v>
      </c>
      <c r="G8" s="3" t="s">
        <v>14</v>
      </c>
      <c r="H8" s="3" t="s">
        <v>15</v>
      </c>
      <c r="I8" s="3">
        <v>60</v>
      </c>
      <c r="J8" s="3" t="s">
        <v>16</v>
      </c>
      <c r="K8" s="3" t="s">
        <v>17</v>
      </c>
      <c r="L8" s="7">
        <v>0.83333333333333337</v>
      </c>
      <c r="M8" s="3" t="s">
        <v>18</v>
      </c>
      <c r="O8" s="7">
        <f>M$4-L8</f>
        <v>2.0833333333333259E-2</v>
      </c>
      <c r="P8" s="3" t="str">
        <f>IF(O8&gt;P$4,"I can travel","cant travel")</f>
        <v>cant travel</v>
      </c>
      <c r="R8" s="3" t="str">
        <f>IF(J$1&gt;=I8,"budget is good","budget is low")</f>
        <v>budget is good</v>
      </c>
      <c r="S8" s="3" t="str">
        <f>IF(J$1&gt;I8,"budget is good",IF(J$2&gt;I8,"increased budget is good","budget is low"))</f>
        <v>increased budget is good</v>
      </c>
    </row>
    <row r="9" spans="4:19" x14ac:dyDescent="0.3">
      <c r="D9" s="3">
        <v>102</v>
      </c>
      <c r="E9" s="3" t="s">
        <v>19</v>
      </c>
      <c r="F9" s="3">
        <v>30</v>
      </c>
      <c r="G9" s="3" t="s">
        <v>20</v>
      </c>
      <c r="H9" s="3" t="s">
        <v>21</v>
      </c>
      <c r="I9" s="3">
        <v>50</v>
      </c>
      <c r="J9" s="3" t="s">
        <v>22</v>
      </c>
      <c r="K9" s="3" t="s">
        <v>23</v>
      </c>
      <c r="L9" s="7">
        <v>0.64583333333333337</v>
      </c>
      <c r="M9" s="3" t="s">
        <v>24</v>
      </c>
      <c r="O9" s="7">
        <f t="shared" ref="O9:O13" si="0">M$4-L9</f>
        <v>0.20833333333333326</v>
      </c>
      <c r="P9" s="3" t="str">
        <f t="shared" ref="P9:P13" si="1">IF(O9&gt;P$4,"I can travel","cant travel")</f>
        <v>I can travel</v>
      </c>
      <c r="R9" s="3" t="str">
        <f t="shared" ref="R9:R13" si="2">IF(J$1&gt;=I9,"budget is good","budget is low")</f>
        <v>budget is good</v>
      </c>
      <c r="S9" s="3" t="str">
        <f t="shared" ref="S9:S13" si="3">IF(J$1&gt;I9,"budget is good",IF(J$2&gt;I9,"increased budget is good","budget is low"))</f>
        <v>budget is good</v>
      </c>
    </row>
    <row r="10" spans="4:19" x14ac:dyDescent="0.3">
      <c r="D10" s="3">
        <v>103</v>
      </c>
      <c r="E10" s="3" t="s">
        <v>25</v>
      </c>
      <c r="F10" s="3">
        <v>50</v>
      </c>
      <c r="G10" s="3" t="s">
        <v>26</v>
      </c>
      <c r="H10" s="3" t="s">
        <v>27</v>
      </c>
      <c r="I10" s="3">
        <v>100</v>
      </c>
      <c r="J10" s="3" t="s">
        <v>16</v>
      </c>
      <c r="K10" s="3" t="s">
        <v>28</v>
      </c>
      <c r="L10" s="7">
        <v>0.34027777777777779</v>
      </c>
      <c r="M10" s="3" t="s">
        <v>29</v>
      </c>
      <c r="O10" s="7">
        <f t="shared" si="0"/>
        <v>0.51388888888888884</v>
      </c>
      <c r="P10" s="3" t="str">
        <f t="shared" si="1"/>
        <v>I can travel</v>
      </c>
      <c r="R10" s="3" t="str">
        <f t="shared" si="2"/>
        <v>budget is low</v>
      </c>
      <c r="S10" s="3" t="str">
        <f t="shared" si="3"/>
        <v>budget is low</v>
      </c>
    </row>
    <row r="11" spans="4:19" x14ac:dyDescent="0.3">
      <c r="D11" s="3">
        <v>104</v>
      </c>
      <c r="E11" s="3" t="s">
        <v>30</v>
      </c>
      <c r="F11" s="3">
        <v>40</v>
      </c>
      <c r="G11" s="3" t="s">
        <v>26</v>
      </c>
      <c r="H11" s="3" t="s">
        <v>31</v>
      </c>
      <c r="I11" s="3">
        <v>120</v>
      </c>
      <c r="J11" s="3" t="s">
        <v>28</v>
      </c>
      <c r="K11" s="3" t="s">
        <v>23</v>
      </c>
      <c r="L11" s="7">
        <v>2.361111111111111E-2</v>
      </c>
      <c r="M11" s="3" t="s">
        <v>29</v>
      </c>
      <c r="O11" s="7">
        <f t="shared" si="0"/>
        <v>0.83055555555555549</v>
      </c>
      <c r="P11" s="3" t="str">
        <f t="shared" si="1"/>
        <v>I can travel</v>
      </c>
      <c r="R11" s="3" t="str">
        <f t="shared" si="2"/>
        <v>budget is low</v>
      </c>
      <c r="S11" s="3" t="str">
        <f t="shared" si="3"/>
        <v>budget is low</v>
      </c>
    </row>
    <row r="12" spans="4:19" x14ac:dyDescent="0.3">
      <c r="D12" s="3">
        <v>105</v>
      </c>
      <c r="E12" s="3" t="s">
        <v>32</v>
      </c>
      <c r="F12" s="3">
        <v>10</v>
      </c>
      <c r="G12" s="3" t="s">
        <v>20</v>
      </c>
      <c r="H12" s="3" t="s">
        <v>33</v>
      </c>
      <c r="I12" s="3">
        <v>30</v>
      </c>
      <c r="J12" s="3" t="s">
        <v>16</v>
      </c>
      <c r="K12" s="3" t="s">
        <v>34</v>
      </c>
      <c r="L12" s="7">
        <v>0.99652777777777779</v>
      </c>
      <c r="M12" s="3" t="s">
        <v>18</v>
      </c>
      <c r="O12" s="7">
        <f t="shared" si="0"/>
        <v>-0.14236111111111116</v>
      </c>
      <c r="P12" s="3" t="str">
        <f t="shared" si="1"/>
        <v>cant travel</v>
      </c>
      <c r="R12" s="3" t="str">
        <f t="shared" si="2"/>
        <v>budget is good</v>
      </c>
      <c r="S12" s="3" t="str">
        <f t="shared" si="3"/>
        <v>budget is good</v>
      </c>
    </row>
    <row r="13" spans="4:19" x14ac:dyDescent="0.3">
      <c r="D13" s="3">
        <v>106</v>
      </c>
      <c r="E13" s="3" t="s">
        <v>35</v>
      </c>
      <c r="F13" s="3">
        <v>30</v>
      </c>
      <c r="G13" s="3" t="s">
        <v>14</v>
      </c>
      <c r="H13" s="3" t="s">
        <v>36</v>
      </c>
      <c r="I13" s="3">
        <v>60</v>
      </c>
      <c r="J13" s="3" t="s">
        <v>34</v>
      </c>
      <c r="K13" s="3" t="s">
        <v>23</v>
      </c>
      <c r="L13" s="7">
        <v>0.50347222222222221</v>
      </c>
      <c r="M13" s="3" t="s">
        <v>24</v>
      </c>
      <c r="O13" s="7">
        <f t="shared" si="0"/>
        <v>0.35069444444444442</v>
      </c>
      <c r="P13" s="3" t="str">
        <f t="shared" si="1"/>
        <v>I can travel</v>
      </c>
      <c r="R13" s="3" t="str">
        <f t="shared" si="2"/>
        <v>budget is good</v>
      </c>
      <c r="S13" s="3" t="str">
        <f t="shared" si="3"/>
        <v>increased budget is good</v>
      </c>
    </row>
    <row r="15" spans="4:19" x14ac:dyDescent="0.3">
      <c r="H15" s="9" t="s">
        <v>65</v>
      </c>
      <c r="I15" s="10"/>
      <c r="J15" s="10"/>
      <c r="K15" s="10"/>
      <c r="L15" s="11"/>
      <c r="O15" s="7">
        <f>_xlfn.MINIFS(O8:O13,P8:P13,"I can travel")</f>
        <v>0.20833333333333326</v>
      </c>
      <c r="P15" s="16" t="s">
        <v>67</v>
      </c>
      <c r="Q15" s="15"/>
      <c r="R15" s="15"/>
    </row>
    <row r="16" spans="4:19" x14ac:dyDescent="0.3">
      <c r="H16" s="3" t="s">
        <v>66</v>
      </c>
      <c r="I16" s="3"/>
      <c r="J16" s="3"/>
      <c r="K16" s="3"/>
      <c r="L16" s="3"/>
      <c r="O16" s="7" t="str">
        <f>INDEX(H8:H13,MATCH(O15,O8:O13))</f>
        <v>t_102</v>
      </c>
      <c r="P16" s="16" t="s">
        <v>68</v>
      </c>
      <c r="Q16" s="15"/>
      <c r="R16" s="15"/>
    </row>
    <row r="17" spans="15:21" x14ac:dyDescent="0.3">
      <c r="R17" s="12" t="s">
        <v>60</v>
      </c>
      <c r="S17" s="12"/>
    </row>
    <row r="18" spans="15:21" x14ac:dyDescent="0.3">
      <c r="O18" s="12" t="s">
        <v>63</v>
      </c>
      <c r="P18" s="12"/>
      <c r="R18" s="12" t="s">
        <v>61</v>
      </c>
      <c r="S18" s="12"/>
    </row>
    <row r="19" spans="15:21" x14ac:dyDescent="0.3">
      <c r="O19" s="12" t="s">
        <v>64</v>
      </c>
      <c r="P19" s="12"/>
      <c r="R19" s="12" t="s">
        <v>62</v>
      </c>
      <c r="S19" s="12"/>
      <c r="T19" s="12"/>
      <c r="U19" s="12"/>
    </row>
  </sheetData>
  <mergeCells count="8">
    <mergeCell ref="H15:L15"/>
    <mergeCell ref="O18:P18"/>
    <mergeCell ref="O19:P19"/>
    <mergeCell ref="R17:S17"/>
    <mergeCell ref="R18:S18"/>
    <mergeCell ref="R19:U19"/>
    <mergeCell ref="P15:R15"/>
    <mergeCell ref="P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MENDHE</dc:creator>
  <cp:lastModifiedBy>AYUSH MENDHE</cp:lastModifiedBy>
  <dcterms:created xsi:type="dcterms:W3CDTF">2015-06-05T18:17:20Z</dcterms:created>
  <dcterms:modified xsi:type="dcterms:W3CDTF">2026-03-15T17:58:07Z</dcterms:modified>
</cp:coreProperties>
</file>